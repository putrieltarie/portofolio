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03 TOOLS\R\New Project\"/>
    </mc:Choice>
  </mc:AlternateContent>
  <xr:revisionPtr revIDLastSave="0" documentId="13_ncr:1_{9A4AA5BE-DED3-478A-BE30-70B17FABD409}" xr6:coauthVersionLast="47" xr6:coauthVersionMax="47" xr10:uidLastSave="{00000000-0000-0000-0000-000000000000}"/>
  <bookViews>
    <workbookView xWindow="-120" yWindow="-120" windowWidth="20730" windowHeight="11040" xr2:uid="{EFAE5393-E9CC-4AC8-AE1C-BD27F277FEF3}"/>
  </bookViews>
  <sheets>
    <sheet name="model belajar" sheetId="3" r:id="rId1"/>
    <sheet name="perhitungan manual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2" i="5" l="1"/>
  <c r="F29" i="5"/>
  <c r="E29" i="5"/>
  <c r="F28" i="5"/>
  <c r="E28" i="5"/>
  <c r="B29" i="5"/>
  <c r="A28" i="5"/>
  <c r="A29" i="5"/>
  <c r="B28" i="5"/>
  <c r="C17" i="5"/>
  <c r="E17" i="5"/>
  <c r="F17" i="5"/>
  <c r="B17" i="5"/>
  <c r="D4" i="5"/>
  <c r="D5" i="5" s="1"/>
  <c r="D6" i="5" s="1"/>
  <c r="D7" i="5" s="1"/>
  <c r="D8" i="5" s="1"/>
  <c r="D9" i="5" s="1"/>
  <c r="D10" i="5" s="1"/>
  <c r="D11" i="5" s="1"/>
  <c r="D1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B52" i="5" l="1" a="1"/>
  <c r="B52" i="5" s="1"/>
  <c r="C33" i="5" a="1"/>
  <c r="C33" i="5" s="1"/>
  <c r="C39" i="5" s="1" a="1"/>
  <c r="B55" i="5" l="1" a="1"/>
  <c r="B55" i="5" s="1"/>
  <c r="C39" i="5"/>
  <c r="C46" i="5" s="1" a="1"/>
  <c r="C46" i="5" l="1"/>
  <c r="D52" i="5" a="1"/>
  <c r="D52" i="5" l="1"/>
  <c r="D55" i="5" a="1"/>
  <c r="D55" i="5" l="1"/>
  <c r="B58" i="5" s="1" a="1"/>
  <c r="B58" i="5" s="1"/>
  <c r="B60" i="5" s="1" a="1"/>
  <c r="B6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<sst xmlns="http://schemas.openxmlformats.org/spreadsheetml/2006/main" count="57" uniqueCount="33">
  <si>
    <t>KPM</t>
  </si>
  <si>
    <t>KKM</t>
  </si>
  <si>
    <t>Model Pembelajaran</t>
  </si>
  <si>
    <t>TPS</t>
  </si>
  <si>
    <t>PBL</t>
  </si>
  <si>
    <t>Subyek Eksperime I</t>
  </si>
  <si>
    <t>Subyek Eksperimen II</t>
  </si>
  <si>
    <t>Menghitung rata – rata dari setiap sampel dengan menggunakan rumus</t>
  </si>
  <si>
    <t xml:space="preserve"> =AVERAGE(kolomsampel).</t>
  </si>
  <si>
    <t>X1 bar</t>
  </si>
  <si>
    <t>X2 bar</t>
  </si>
  <si>
    <t xml:space="preserve">Mencari Matriks Covarians kelompok eksperimen 1 dan 2 dengan </t>
  </si>
  <si>
    <t xml:space="preserve">menggunakan formula: </t>
  </si>
  <si>
    <t xml:space="preserve">=COVARIANCE.S(kolom_i,kolom_i), </t>
  </si>
  <si>
    <t xml:space="preserve">=COVARIANCE.S(kolom_i,kolom_k), </t>
  </si>
  <si>
    <t xml:space="preserve">=COVARIANCE.S(kolom_k,kolom_i), </t>
  </si>
  <si>
    <t>=COVARIANCE.S(kolom_k,kolom_k).</t>
  </si>
  <si>
    <t>S1</t>
  </si>
  <si>
    <t>S2</t>
  </si>
  <si>
    <t>(n-1)*S1 + (n-2)*S2)</t>
  </si>
  <si>
    <t>A</t>
  </si>
  <si>
    <t>Sgab</t>
  </si>
  <si>
    <t>A/(n1 + n2 - 2)</t>
  </si>
  <si>
    <t>Invers Sgab</t>
  </si>
  <si>
    <t>Mencari matriks varian dengan membentuk vektor seperti berikut ini.</t>
  </si>
  <si>
    <t xml:space="preserve">Mencari invers matriks dari 𝑆𝑔𝑎𝑏 dengan menggunakan formula: </t>
  </si>
  <si>
    <t xml:space="preserve">=MINVERS(matriks) sebagai berikut: </t>
  </si>
  <si>
    <t xml:space="preserve">6. Mencari 𝑇2 Hotelling sebagai berikut: </t>
  </si>
  <si>
    <t>(n1*n2/(n1+n2))</t>
  </si>
  <si>
    <t>invers sgab</t>
  </si>
  <si>
    <t>(x1 bar -x2 bar)'</t>
  </si>
  <si>
    <t>Dikali semua</t>
  </si>
  <si>
    <t>T^2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</si>
</sst>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4" borderId="4" xfId="0" applyFill="1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8" xfId="0" applyBorder="1"/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E170-60D8-43B5-B027-8D662C1781F6}">
  <dimension ref="A1:C21"/>
  <sheetViews>
    <sheetView tabSelected="1" workbookViewId="0">
      <selection activeCell="E15" sqref="E15"/>
    </sheetView>
  </sheetViews>
  <sheetFormatPr defaultRowHeight="15" x14ac:dyDescent="0.25"/>
  <cols>
    <col min="1" max="1" width="18.710937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>
        <v>83</v>
      </c>
      <c r="C2">
        <v>75</v>
      </c>
    </row>
    <row r="3" spans="1:3" x14ac:dyDescent="0.25">
      <c r="A3" t="s">
        <v>3</v>
      </c>
      <c r="B3">
        <v>88</v>
      </c>
      <c r="C3">
        <v>78</v>
      </c>
    </row>
    <row r="4" spans="1:3" x14ac:dyDescent="0.25">
      <c r="A4" t="s">
        <v>3</v>
      </c>
      <c r="B4">
        <v>95</v>
      </c>
      <c r="C4">
        <v>78</v>
      </c>
    </row>
    <row r="5" spans="1:3" x14ac:dyDescent="0.25">
      <c r="A5" t="s">
        <v>3</v>
      </c>
      <c r="B5">
        <v>79</v>
      </c>
      <c r="C5">
        <v>83</v>
      </c>
    </row>
    <row r="6" spans="1:3" x14ac:dyDescent="0.25">
      <c r="A6" t="s">
        <v>3</v>
      </c>
      <c r="B6">
        <v>83</v>
      </c>
      <c r="C6">
        <v>89</v>
      </c>
    </row>
    <row r="7" spans="1:3" x14ac:dyDescent="0.25">
      <c r="A7" t="s">
        <v>3</v>
      </c>
      <c r="B7">
        <v>83</v>
      </c>
      <c r="C7">
        <v>89</v>
      </c>
    </row>
    <row r="8" spans="1:3" x14ac:dyDescent="0.25">
      <c r="A8" t="s">
        <v>3</v>
      </c>
      <c r="B8">
        <v>88</v>
      </c>
      <c r="C8">
        <v>78</v>
      </c>
    </row>
    <row r="9" spans="1:3" x14ac:dyDescent="0.25">
      <c r="A9" t="s">
        <v>3</v>
      </c>
      <c r="B9">
        <v>96</v>
      </c>
      <c r="C9">
        <v>83</v>
      </c>
    </row>
    <row r="10" spans="1:3" x14ac:dyDescent="0.25">
      <c r="A10" t="s">
        <v>3</v>
      </c>
      <c r="B10">
        <v>83</v>
      </c>
      <c r="C10">
        <v>65</v>
      </c>
    </row>
    <row r="11" spans="1:3" x14ac:dyDescent="0.25">
      <c r="A11" t="s">
        <v>3</v>
      </c>
      <c r="B11">
        <v>96</v>
      </c>
      <c r="C11">
        <v>89</v>
      </c>
    </row>
    <row r="12" spans="1:3" x14ac:dyDescent="0.25">
      <c r="A12" t="s">
        <v>4</v>
      </c>
      <c r="B12">
        <v>75</v>
      </c>
      <c r="C12">
        <v>67</v>
      </c>
    </row>
    <row r="13" spans="1:3" x14ac:dyDescent="0.25">
      <c r="A13" t="s">
        <v>4</v>
      </c>
      <c r="B13">
        <v>83</v>
      </c>
      <c r="C13">
        <v>72</v>
      </c>
    </row>
    <row r="14" spans="1:3" x14ac:dyDescent="0.25">
      <c r="A14" t="s">
        <v>4</v>
      </c>
      <c r="B14">
        <v>88</v>
      </c>
      <c r="C14">
        <v>78</v>
      </c>
    </row>
    <row r="15" spans="1:3" x14ac:dyDescent="0.25">
      <c r="A15" t="s">
        <v>4</v>
      </c>
      <c r="B15">
        <v>63</v>
      </c>
      <c r="C15">
        <v>72</v>
      </c>
    </row>
    <row r="16" spans="1:3" x14ac:dyDescent="0.25">
      <c r="A16" t="s">
        <v>4</v>
      </c>
      <c r="B16">
        <v>66</v>
      </c>
      <c r="C16">
        <v>61</v>
      </c>
    </row>
    <row r="17" spans="1:3" x14ac:dyDescent="0.25">
      <c r="A17" t="s">
        <v>4</v>
      </c>
      <c r="B17">
        <v>75</v>
      </c>
      <c r="C17">
        <v>78</v>
      </c>
    </row>
    <row r="18" spans="1:3" x14ac:dyDescent="0.25">
      <c r="A18" t="s">
        <v>4</v>
      </c>
      <c r="B18">
        <v>79</v>
      </c>
      <c r="C18">
        <v>61</v>
      </c>
    </row>
    <row r="19" spans="1:3" x14ac:dyDescent="0.25">
      <c r="A19" t="s">
        <v>4</v>
      </c>
      <c r="B19">
        <v>83</v>
      </c>
      <c r="C19">
        <v>67</v>
      </c>
    </row>
    <row r="20" spans="1:3" x14ac:dyDescent="0.25">
      <c r="A20" t="s">
        <v>4</v>
      </c>
      <c r="B20">
        <v>66</v>
      </c>
      <c r="C20">
        <v>67</v>
      </c>
    </row>
    <row r="21" spans="1:3" x14ac:dyDescent="0.25">
      <c r="A21" t="s">
        <v>4</v>
      </c>
      <c r="B21">
        <v>83</v>
      </c>
      <c r="C21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3AB9-1DCD-411D-954E-E3A44DFF58E6}">
  <dimension ref="A1:H60"/>
  <sheetViews>
    <sheetView workbookViewId="0">
      <selection activeCell="D61" sqref="D61"/>
    </sheetView>
  </sheetViews>
  <sheetFormatPr defaultRowHeight="15" x14ac:dyDescent="0.25"/>
  <cols>
    <col min="1" max="1" width="18.7109375" customWidth="1"/>
    <col min="2" max="2" width="16.5703125" customWidth="1"/>
    <col min="3" max="3" width="12.140625" customWidth="1"/>
    <col min="4" max="4" width="19.140625" customWidth="1"/>
  </cols>
  <sheetData>
    <row r="1" spans="1:6" x14ac:dyDescent="0.25">
      <c r="A1" s="17" t="s">
        <v>5</v>
      </c>
      <c r="B1" s="18" t="s">
        <v>3</v>
      </c>
      <c r="C1" s="18"/>
      <c r="D1" s="17" t="s">
        <v>6</v>
      </c>
      <c r="E1" s="19" t="s">
        <v>4</v>
      </c>
      <c r="F1" s="19"/>
    </row>
    <row r="2" spans="1:6" x14ac:dyDescent="0.25">
      <c r="A2" s="17"/>
      <c r="B2" s="1" t="s">
        <v>0</v>
      </c>
      <c r="C2" s="1" t="s">
        <v>1</v>
      </c>
      <c r="D2" s="17"/>
      <c r="E2" s="1" t="s">
        <v>0</v>
      </c>
      <c r="F2" s="1" t="s">
        <v>1</v>
      </c>
    </row>
    <row r="3" spans="1:6" x14ac:dyDescent="0.25">
      <c r="A3" s="1">
        <f>1</f>
        <v>1</v>
      </c>
      <c r="B3" s="1">
        <v>83</v>
      </c>
      <c r="C3" s="1">
        <v>75</v>
      </c>
      <c r="D3" s="1">
        <v>1</v>
      </c>
      <c r="E3" s="1">
        <v>75</v>
      </c>
      <c r="F3" s="1">
        <v>67</v>
      </c>
    </row>
    <row r="4" spans="1:6" x14ac:dyDescent="0.25">
      <c r="A4" s="1">
        <f>A3+1</f>
        <v>2</v>
      </c>
      <c r="B4" s="1">
        <v>88</v>
      </c>
      <c r="C4" s="1">
        <v>78</v>
      </c>
      <c r="D4" s="1">
        <f>D3+1</f>
        <v>2</v>
      </c>
      <c r="E4" s="1">
        <v>83</v>
      </c>
      <c r="F4" s="1">
        <v>72</v>
      </c>
    </row>
    <row r="5" spans="1:6" x14ac:dyDescent="0.25">
      <c r="A5" s="1">
        <f t="shared" ref="A5:A12" si="0">A4+1</f>
        <v>3</v>
      </c>
      <c r="B5" s="1">
        <v>95</v>
      </c>
      <c r="C5" s="1">
        <v>78</v>
      </c>
      <c r="D5" s="1">
        <f t="shared" ref="D5:D11" si="1">D4+1</f>
        <v>3</v>
      </c>
      <c r="E5" s="1">
        <v>88</v>
      </c>
      <c r="F5" s="1">
        <v>78</v>
      </c>
    </row>
    <row r="6" spans="1:6" x14ac:dyDescent="0.25">
      <c r="A6" s="1">
        <f t="shared" si="0"/>
        <v>4</v>
      </c>
      <c r="B6" s="1">
        <v>79</v>
      </c>
      <c r="C6" s="1">
        <v>83</v>
      </c>
      <c r="D6" s="1">
        <f t="shared" si="1"/>
        <v>4</v>
      </c>
      <c r="E6" s="1">
        <v>63</v>
      </c>
      <c r="F6" s="1">
        <v>72</v>
      </c>
    </row>
    <row r="7" spans="1:6" x14ac:dyDescent="0.25">
      <c r="A7" s="1">
        <f t="shared" si="0"/>
        <v>5</v>
      </c>
      <c r="B7" s="1">
        <v>83</v>
      </c>
      <c r="C7" s="1">
        <v>89</v>
      </c>
      <c r="D7" s="1">
        <f t="shared" si="1"/>
        <v>5</v>
      </c>
      <c r="E7" s="1">
        <v>66</v>
      </c>
      <c r="F7" s="1">
        <v>61</v>
      </c>
    </row>
    <row r="8" spans="1:6" x14ac:dyDescent="0.25">
      <c r="A8" s="1">
        <f t="shared" si="0"/>
        <v>6</v>
      </c>
      <c r="B8" s="1">
        <v>83</v>
      </c>
      <c r="C8" s="1">
        <v>89</v>
      </c>
      <c r="D8" s="1">
        <f t="shared" si="1"/>
        <v>6</v>
      </c>
      <c r="E8" s="1">
        <v>75</v>
      </c>
      <c r="F8" s="1">
        <v>78</v>
      </c>
    </row>
    <row r="9" spans="1:6" x14ac:dyDescent="0.25">
      <c r="A9" s="1">
        <f t="shared" si="0"/>
        <v>7</v>
      </c>
      <c r="B9" s="1">
        <v>88</v>
      </c>
      <c r="C9" s="1">
        <v>78</v>
      </c>
      <c r="D9" s="1">
        <f t="shared" si="1"/>
        <v>7</v>
      </c>
      <c r="E9" s="1">
        <v>79</v>
      </c>
      <c r="F9" s="1">
        <v>61</v>
      </c>
    </row>
    <row r="10" spans="1:6" x14ac:dyDescent="0.25">
      <c r="A10" s="1">
        <f t="shared" si="0"/>
        <v>8</v>
      </c>
      <c r="B10" s="1">
        <v>96</v>
      </c>
      <c r="C10" s="1">
        <v>83</v>
      </c>
      <c r="D10" s="1">
        <f t="shared" si="1"/>
        <v>8</v>
      </c>
      <c r="E10" s="1">
        <v>83</v>
      </c>
      <c r="F10" s="1">
        <v>67</v>
      </c>
    </row>
    <row r="11" spans="1:6" x14ac:dyDescent="0.25">
      <c r="A11" s="1">
        <f t="shared" si="0"/>
        <v>9</v>
      </c>
      <c r="B11" s="1">
        <v>83</v>
      </c>
      <c r="C11" s="1">
        <v>65</v>
      </c>
      <c r="D11" s="1">
        <f t="shared" si="1"/>
        <v>9</v>
      </c>
      <c r="E11" s="1">
        <v>66</v>
      </c>
      <c r="F11" s="1">
        <v>67</v>
      </c>
    </row>
    <row r="12" spans="1:6" x14ac:dyDescent="0.25">
      <c r="A12" s="1">
        <f t="shared" si="0"/>
        <v>10</v>
      </c>
      <c r="B12" s="1">
        <v>96</v>
      </c>
      <c r="C12" s="1">
        <v>89</v>
      </c>
      <c r="D12" s="1">
        <f>D11+1</f>
        <v>10</v>
      </c>
      <c r="E12" s="1">
        <v>83</v>
      </c>
      <c r="F12" s="1">
        <v>78</v>
      </c>
    </row>
    <row r="14" spans="1:6" x14ac:dyDescent="0.25">
      <c r="A14" t="s">
        <v>7</v>
      </c>
    </row>
    <row r="15" spans="1:6" x14ac:dyDescent="0.25">
      <c r="A15" t="s">
        <v>8</v>
      </c>
    </row>
    <row r="17" spans="1:6" x14ac:dyDescent="0.25">
      <c r="A17" s="2" t="s">
        <v>9</v>
      </c>
      <c r="B17" s="1">
        <f>AVERAGE(B3:B12)</f>
        <v>87.4</v>
      </c>
      <c r="C17" s="1">
        <f>AVERAGE(C3:C12)</f>
        <v>80.7</v>
      </c>
      <c r="D17" s="2" t="s">
        <v>10</v>
      </c>
      <c r="E17" s="1">
        <f>AVERAGE(E3:E12)</f>
        <v>76.099999999999994</v>
      </c>
      <c r="F17" s="1">
        <f>AVERAGE(F3:F12)</f>
        <v>70.099999999999994</v>
      </c>
    </row>
    <row r="20" spans="1:6" x14ac:dyDescent="0.25">
      <c r="A20" t="s">
        <v>11</v>
      </c>
    </row>
    <row r="21" spans="1:6" x14ac:dyDescent="0.25">
      <c r="A21" t="s">
        <v>12</v>
      </c>
    </row>
    <row r="22" spans="1:6" x14ac:dyDescent="0.25">
      <c r="A22" t="s">
        <v>13</v>
      </c>
    </row>
    <row r="23" spans="1:6" x14ac:dyDescent="0.25">
      <c r="A23" t="s">
        <v>14</v>
      </c>
    </row>
    <row r="24" spans="1:6" x14ac:dyDescent="0.25">
      <c r="A24" t="s">
        <v>15</v>
      </c>
    </row>
    <row r="25" spans="1:6" x14ac:dyDescent="0.25">
      <c r="A25" t="s">
        <v>16</v>
      </c>
    </row>
    <row r="27" spans="1:6" x14ac:dyDescent="0.25">
      <c r="A27" s="12" t="s">
        <v>17</v>
      </c>
      <c r="B27" s="12"/>
      <c r="E27" s="20" t="s">
        <v>18</v>
      </c>
      <c r="F27" s="20"/>
    </row>
    <row r="28" spans="1:6" x14ac:dyDescent="0.25">
      <c r="A28" s="1">
        <f>_xlfn.COVARIANCE.S(B3:B12,B3:B12)</f>
        <v>39.37777777777778</v>
      </c>
      <c r="B28" s="1">
        <f>_xlfn.COVARIANCE.S(B3:B12,C3:C12)</f>
        <v>7.6888888888888873</v>
      </c>
      <c r="E28" s="1">
        <f>_xlfn.COVARIANCE.S(E3:E12,E3:E12)</f>
        <v>74.544444444444437</v>
      </c>
      <c r="F28" s="1">
        <f>_xlfn.COVARIANCE.S(E3:E12,F3:F12)</f>
        <v>22.988888888888884</v>
      </c>
    </row>
    <row r="29" spans="1:6" x14ac:dyDescent="0.25">
      <c r="A29" s="1">
        <f>_xlfn.COVARIANCE.S(C3:C12,B3:B12)</f>
        <v>7.6888888888888873</v>
      </c>
      <c r="B29" s="1">
        <f>_xlfn.COVARIANCE.S(C3:C12,C3:C12)</f>
        <v>57.56666666666667</v>
      </c>
      <c r="E29" s="1">
        <f>_xlfn.COVARIANCE.S(F3:F12,E3:E12)</f>
        <v>22.988888888888884</v>
      </c>
      <c r="F29" s="1">
        <f>_xlfn.COVARIANCE.S(F3:F12,F3:F12)</f>
        <v>43.211111111111109</v>
      </c>
    </row>
    <row r="31" spans="1:6" x14ac:dyDescent="0.25">
      <c r="C31" s="15" t="s">
        <v>20</v>
      </c>
      <c r="D31" s="15"/>
    </row>
    <row r="32" spans="1:6" x14ac:dyDescent="0.25">
      <c r="C32" s="12" t="s">
        <v>19</v>
      </c>
      <c r="D32" s="12"/>
    </row>
    <row r="33" spans="1:4" x14ac:dyDescent="0.25">
      <c r="C33" s="1" cm="1">
        <f t="array" ref="C33:D34">(10-1)*A28:B29+(10-1)*E28:F29</f>
        <v>1025.3</v>
      </c>
      <c r="D33" s="1">
        <v>276.09999999999991</v>
      </c>
    </row>
    <row r="34" spans="1:4" x14ac:dyDescent="0.25">
      <c r="C34" s="1">
        <v>276.09999999999991</v>
      </c>
      <c r="D34" s="1">
        <v>907</v>
      </c>
    </row>
    <row r="36" spans="1:4" x14ac:dyDescent="0.25">
      <c r="A36" t="s">
        <v>24</v>
      </c>
    </row>
    <row r="37" spans="1:4" x14ac:dyDescent="0.25">
      <c r="C37" s="15" t="s">
        <v>21</v>
      </c>
      <c r="D37" s="15"/>
    </row>
    <row r="38" spans="1:4" x14ac:dyDescent="0.25">
      <c r="C38" s="12" t="s">
        <v>22</v>
      </c>
      <c r="D38" s="12"/>
    </row>
    <row r="39" spans="1:4" x14ac:dyDescent="0.25">
      <c r="C39" s="1" cm="1">
        <f t="array" ref="C39:D40">_xlfn.ANCHORARRAY(C33)/(10+10-2)</f>
        <v>56.961111111111109</v>
      </c>
      <c r="D39" s="1">
        <v>15.338888888888883</v>
      </c>
    </row>
    <row r="40" spans="1:4" x14ac:dyDescent="0.25">
      <c r="C40" s="1">
        <v>15.338888888888883</v>
      </c>
      <c r="D40" s="1">
        <v>50.388888888888886</v>
      </c>
    </row>
    <row r="42" spans="1:4" x14ac:dyDescent="0.25">
      <c r="A42" t="s">
        <v>25</v>
      </c>
    </row>
    <row r="43" spans="1:4" x14ac:dyDescent="0.25">
      <c r="A43" t="s">
        <v>26</v>
      </c>
    </row>
    <row r="45" spans="1:4" x14ac:dyDescent="0.25">
      <c r="C45" s="16" t="s">
        <v>23</v>
      </c>
      <c r="D45" s="16"/>
    </row>
    <row r="46" spans="1:4" x14ac:dyDescent="0.25">
      <c r="C46" cm="1">
        <f t="array" ref="C46:D47">MINVERSE(_xlfn.ANCHORARRAY(C39))</f>
        <v>1.9123458039418711E-2</v>
      </c>
      <c r="D46">
        <v>-5.8213746027381526E-3</v>
      </c>
    </row>
    <row r="47" spans="1:4" x14ac:dyDescent="0.25">
      <c r="C47">
        <v>-5.8213746027381517E-3</v>
      </c>
      <c r="D47">
        <v>2.1617730460657115E-2</v>
      </c>
    </row>
    <row r="49" spans="1:8" x14ac:dyDescent="0.25">
      <c r="A49" t="s">
        <v>27</v>
      </c>
    </row>
    <row r="51" spans="1:8" x14ac:dyDescent="0.25">
      <c r="A51" s="2" t="s">
        <v>28</v>
      </c>
      <c r="B51" s="12" t="s">
        <v>30</v>
      </c>
      <c r="C51" s="13"/>
      <c r="D51" s="13" t="s">
        <v>29</v>
      </c>
      <c r="E51" s="14"/>
      <c r="F51" s="3"/>
    </row>
    <row r="52" spans="1:8" x14ac:dyDescent="0.25">
      <c r="A52" s="6">
        <f>(10*10)/(10+10)</f>
        <v>5</v>
      </c>
      <c r="B52" s="6" cm="1">
        <f t="array" ref="B52:C52">B17:C17-E17:F17</f>
        <v>11.300000000000011</v>
      </c>
      <c r="C52" s="7">
        <v>10.600000000000009</v>
      </c>
      <c r="D52" s="8" cm="1">
        <f t="array" ref="D52:E53">_xlfn.ANCHORARRAY(C46)</f>
        <v>1.9123458039418711E-2</v>
      </c>
      <c r="E52" s="9">
        <v>-5.8213746027381526E-3</v>
      </c>
      <c r="F52" s="6">
        <v>11.3</v>
      </c>
      <c r="H52" t="s">
        <v>31</v>
      </c>
    </row>
    <row r="53" spans="1:8" x14ac:dyDescent="0.25">
      <c r="A53" s="4"/>
      <c r="B53" s="10"/>
      <c r="C53" s="10"/>
      <c r="D53" s="4">
        <v>-5.8213746027381517E-3</v>
      </c>
      <c r="E53" s="5">
        <v>2.1617730460657115E-2</v>
      </c>
      <c r="F53" s="11">
        <v>10.6</v>
      </c>
    </row>
    <row r="55" spans="1:8" x14ac:dyDescent="0.25">
      <c r="A55" s="6">
        <v>5</v>
      </c>
      <c r="B55" s="6" cm="1">
        <f t="array" ref="B55:C55">_xlfn.ANCHORARRAY(B52)</f>
        <v>11.300000000000011</v>
      </c>
      <c r="C55" s="9">
        <v>10.600000000000009</v>
      </c>
      <c r="D55" s="6" cm="1">
        <f t="array" ref="D55:D56">MMULT(_xlfn.ANCHORARRAY(D52),F52:F53)</f>
        <v>0.15438850505640703</v>
      </c>
    </row>
    <row r="56" spans="1:8" x14ac:dyDescent="0.25">
      <c r="A56" s="11"/>
      <c r="B56" s="4"/>
      <c r="C56" s="5"/>
      <c r="D56" s="11">
        <v>0.1633664098720243</v>
      </c>
    </row>
    <row r="58" spans="1:8" x14ac:dyDescent="0.25">
      <c r="A58" s="1">
        <v>5</v>
      </c>
      <c r="B58" s="1" cm="1">
        <f t="array" ref="B58">MMULT(_xlfn.ANCHORARRAY(B55),_xlfn.ANCHORARRAY(D55))</f>
        <v>3.4762740517808606</v>
      </c>
    </row>
    <row r="60" spans="1:8" x14ac:dyDescent="0.25">
      <c r="A60" t="s">
        <v>32</v>
      </c>
      <c r="B60" cm="1">
        <f t="array" ref="B60">MMULT(A58,B58)</f>
        <v>17.381370258904305</v>
      </c>
    </row>
  </sheetData>
  <mergeCells count="13">
    <mergeCell ref="A1:A2"/>
    <mergeCell ref="B1:C1"/>
    <mergeCell ref="D1:D2"/>
    <mergeCell ref="E1:F1"/>
    <mergeCell ref="A27:B27"/>
    <mergeCell ref="E27:F27"/>
    <mergeCell ref="B51:C51"/>
    <mergeCell ref="D51:E51"/>
    <mergeCell ref="C32:D32"/>
    <mergeCell ref="C31:D31"/>
    <mergeCell ref="C37:D37"/>
    <mergeCell ref="C38:D38"/>
    <mergeCell ref="C45: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belajar</vt:lpstr>
      <vt:lpstr>perhitungan 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 Lestari 10060120061</dc:creator>
  <cp:lastModifiedBy>Putri Lestari 10060120061</cp:lastModifiedBy>
  <dcterms:created xsi:type="dcterms:W3CDTF">2026-07-27T03:09:00Z</dcterms:created>
  <dcterms:modified xsi:type="dcterms:W3CDTF">2026-07-31T09:20:33Z</dcterms:modified>
</cp:coreProperties>
</file>